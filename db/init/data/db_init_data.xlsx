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featurePropertyBag/featurePropertyBag.xml" ContentType="application/vnd.ms-excel.featurepropertyba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halas\VSCode_Codes\digital_twin_simple\outputs\db_init_seed_template\"/>
    </mc:Choice>
  </mc:AlternateContent>
  <xr:revisionPtr revIDLastSave="0" documentId="13_ncr:1_{DE3E7C57-D475-4D22-A685-98E4AAE8CD24}" xr6:coauthVersionLast="47" xr6:coauthVersionMax="47" xr10:uidLastSave="{00000000-0000-0000-0000-000000000000}"/>
  <bookViews>
    <workbookView xWindow="38280" yWindow="-120" windowWidth="38640" windowHeight="21120" activeTab="7" xr2:uid="{00000000-000D-0000-FFFF-FFFF00000000}"/>
  </bookViews>
  <sheets>
    <sheet name="ReadMe" sheetId="1" r:id="rId1"/>
    <sheet name="DataSources" sheetId="2" r:id="rId2"/>
    <sheet name="UserTypes" sheetId="3" r:id="rId3"/>
    <sheet name="ProductTypes" sheetId="4" r:id="rId4"/>
    <sheet name="Assets" sheetId="5" r:id="rId5"/>
    <sheet name="MeasurementTypes" sheetId="6" r:id="rId6"/>
    <sheet name="SensorTypes" sheetId="7" r:id="rId7"/>
    <sheet name="Sensors" sheetId="8" r:id="rId8"/>
    <sheet name="ProcessConfigurations" sheetId="9" r:id="rId9"/>
    <sheet name="ProcessSteps" sheetId="10" r:id="rId10"/>
    <sheet name="AssetProcessSteps" sheetId="11" r:id="rId11"/>
    <sheet name="Routing" sheetId="12" r:id="rId12"/>
  </sheets>
  <calcPr calcId="0"/>
</workbook>
</file>

<file path=xl/sharedStrings.xml><?xml version="1.0" encoding="utf-8"?>
<sst xmlns="http://schemas.openxmlformats.org/spreadsheetml/2006/main" count="305" uniqueCount="175">
  <si>
    <t>Database initialization data</t>
  </si>
  <si>
    <t>Rule</t>
  </si>
  <si>
    <t>Description</t>
  </si>
  <si>
    <t>Stable keys</t>
  </si>
  <si>
    <t>Columns ending in _key identify rows and references. Do not replace them with database identity IDs.</t>
  </si>
  <si>
    <t>Add data</t>
  </si>
  <si>
    <t>Add new records as rows inside the relevant Excel table. Keep every _key unique on its owning sheet.</t>
  </si>
  <si>
    <t>References</t>
  </si>
  <si>
    <t>Reference another entity through its _key value, for example asset_key or sensor_type_key.</t>
  </si>
  <si>
    <t>External IDs</t>
  </si>
  <si>
    <t>cmms_asset_id, dc_asset_id and metric_function_id are prepared for future mappings and may remain blank for now.</t>
  </si>
  <si>
    <t>Processing time</t>
  </si>
  <si>
    <t>processing_time is stored in seconds and may contain decimal values.</t>
  </si>
  <si>
    <t>Measurement frequency</t>
  </si>
  <si>
    <t>measurement_frequency is the sensor-specific sampling interval in seconds.</t>
  </si>
  <si>
    <t>Source</t>
  </si>
  <si>
    <t>Values migrated from the provided db_init_data.xlsx workbook dated 2026-09-15.</t>
  </si>
  <si>
    <t>Data sources</t>
  </si>
  <si>
    <t>source_key</t>
  </si>
  <si>
    <t>source_name</t>
  </si>
  <si>
    <t>source_type</t>
  </si>
  <si>
    <t>enabled</t>
  </si>
  <si>
    <t>real</t>
  </si>
  <si>
    <t>Physical system</t>
  </si>
  <si>
    <t>physical</t>
  </si>
  <si>
    <t>User types</t>
  </si>
  <si>
    <t>user_type_key</t>
  </si>
  <si>
    <t>user_type_name</t>
  </si>
  <si>
    <t>customer</t>
  </si>
  <si>
    <t>Customer</t>
  </si>
  <si>
    <t>operator</t>
  </si>
  <si>
    <t>Operator</t>
  </si>
  <si>
    <t>technician</t>
  </si>
  <si>
    <t>Technician</t>
  </si>
  <si>
    <t>shift_supervisor</t>
  </si>
  <si>
    <t>Shift Supervisor</t>
  </si>
  <si>
    <t>engineer</t>
  </si>
  <si>
    <t>Engineer</t>
  </si>
  <si>
    <t>manager</t>
  </si>
  <si>
    <t>Manager</t>
  </si>
  <si>
    <t>Product types</t>
  </si>
  <si>
    <t>product_type_key</t>
  </si>
  <si>
    <t>product_type_name</t>
  </si>
  <si>
    <t>max_quantity</t>
  </si>
  <si>
    <t>a</t>
  </si>
  <si>
    <t>A</t>
  </si>
  <si>
    <t>b</t>
  </si>
  <si>
    <t>B</t>
  </si>
  <si>
    <t>c</t>
  </si>
  <si>
    <t>C</t>
  </si>
  <si>
    <t>d</t>
  </si>
  <si>
    <t>D</t>
  </si>
  <si>
    <t>Assets</t>
  </si>
  <si>
    <t>asset_key</t>
  </si>
  <si>
    <t>asset_name</t>
  </si>
  <si>
    <t>cmms_asset_id</t>
  </si>
  <si>
    <t>dc_asset_id</t>
  </si>
  <si>
    <t>visual_qc</t>
  </si>
  <si>
    <t>Visual-QC</t>
  </si>
  <si>
    <t>preparation</t>
  </si>
  <si>
    <t>Preparation</t>
  </si>
  <si>
    <t>assembly1</t>
  </si>
  <si>
    <t>Assembly1</t>
  </si>
  <si>
    <t>assembly2</t>
  </si>
  <si>
    <t>Assembly2</t>
  </si>
  <si>
    <t>production_line</t>
  </si>
  <si>
    <t>conveyor</t>
  </si>
  <si>
    <t>Conveyor</t>
  </si>
  <si>
    <t>warehouse</t>
  </si>
  <si>
    <t>Warehouse</t>
  </si>
  <si>
    <t>Measurement types</t>
  </si>
  <si>
    <t>measurement_type_key</t>
  </si>
  <si>
    <t>measurement_type_name</t>
  </si>
  <si>
    <t>unit</t>
  </si>
  <si>
    <t>unit_name</t>
  </si>
  <si>
    <t>unit_symbol</t>
  </si>
  <si>
    <t>cylinder</t>
  </si>
  <si>
    <t>Cylinder</t>
  </si>
  <si>
    <t>BOOL</t>
  </si>
  <si>
    <t>tray_track</t>
  </si>
  <si>
    <t>Tray-track</t>
  </si>
  <si>
    <t>temperature</t>
  </si>
  <si>
    <t>Temperature</t>
  </si>
  <si>
    <t>°C</t>
  </si>
  <si>
    <t>humidity</t>
  </si>
  <si>
    <t>Humidity</t>
  </si>
  <si>
    <t>%</t>
  </si>
  <si>
    <t>Sensor types</t>
  </si>
  <si>
    <t>sensor_type_key</t>
  </si>
  <si>
    <t>type_name</t>
  </si>
  <si>
    <t>max_value</t>
  </si>
  <si>
    <t>min_value</t>
  </si>
  <si>
    <t>accuracy</t>
  </si>
  <si>
    <t>festo_150857</t>
  </si>
  <si>
    <t>FESTO 150857</t>
  </si>
  <si>
    <t>festo_150395</t>
  </si>
  <si>
    <t>FESTO 150395</t>
  </si>
  <si>
    <t>dht11_temp</t>
  </si>
  <si>
    <t>DHT11_temp</t>
  </si>
  <si>
    <t>dht11_hum</t>
  </si>
  <si>
    <t>DHT11_hum</t>
  </si>
  <si>
    <t>Sensors</t>
  </si>
  <si>
    <t>sensor_key</t>
  </si>
  <si>
    <t>sensor_name</t>
  </si>
  <si>
    <t>measurement_frequency</t>
  </si>
  <si>
    <t>ranges_key</t>
  </si>
  <si>
    <t>metric_function_id</t>
  </si>
  <si>
    <t>chart_aggregation_method</t>
  </si>
  <si>
    <t>tray_in_vqc</t>
  </si>
  <si>
    <t>Tray-in-VQC</t>
  </si>
  <si>
    <t>latest</t>
  </si>
  <si>
    <t>tray_out_vqc</t>
  </si>
  <si>
    <t>Tray-out-VQC</t>
  </si>
  <si>
    <t>cylinder_status_vqc</t>
  </si>
  <si>
    <t>Cylinder-status-VQC</t>
  </si>
  <si>
    <t>tray_in_prep</t>
  </si>
  <si>
    <t>Tray-in-PREP</t>
  </si>
  <si>
    <t>tray_out_prep</t>
  </si>
  <si>
    <t>Tray-out-PREP</t>
  </si>
  <si>
    <t>cylinder_status_prep</t>
  </si>
  <si>
    <t>Cylinder-status-PREP</t>
  </si>
  <si>
    <t>tray_in_asb1</t>
  </si>
  <si>
    <t>Tray-in-ASB1</t>
  </si>
  <si>
    <t>tray_out_asb1</t>
  </si>
  <si>
    <t>Tray-out-ASB1</t>
  </si>
  <si>
    <t>cylinder_status_asb1</t>
  </si>
  <si>
    <t>Cylinder-status-ASB1</t>
  </si>
  <si>
    <t>tray_in_asb2</t>
  </si>
  <si>
    <t>Tray-in-ASB2</t>
  </si>
  <si>
    <t>tray_out_asb2</t>
  </si>
  <si>
    <t>Tray-out-ASB2</t>
  </si>
  <si>
    <t>cylinder_status_asb2</t>
  </si>
  <si>
    <t>Cylinder-status-ASB2</t>
  </si>
  <si>
    <t>global_temp</t>
  </si>
  <si>
    <t>global_hum</t>
  </si>
  <si>
    <t>Process configurations</t>
  </si>
  <si>
    <t>configuration_key</t>
  </si>
  <si>
    <t>configuration_name</t>
  </si>
  <si>
    <t>valid_from</t>
  </si>
  <si>
    <t>valid_to</t>
  </si>
  <si>
    <t>is_active</t>
  </si>
  <si>
    <t>default</t>
  </si>
  <si>
    <t>Default</t>
  </si>
  <si>
    <t>Process steps</t>
  </si>
  <si>
    <t>process_step_key</t>
  </si>
  <si>
    <t>process_step_name</t>
  </si>
  <si>
    <t>processing_time</t>
  </si>
  <si>
    <t>step_01</t>
  </si>
  <si>
    <t>Start system</t>
  </si>
  <si>
    <t>step_02</t>
  </si>
  <si>
    <t>Glueing</t>
  </si>
  <si>
    <t>step_03</t>
  </si>
  <si>
    <t>Fixture assembly</t>
  </si>
  <si>
    <t>step_04</t>
  </si>
  <si>
    <t>Product transporting</t>
  </si>
  <si>
    <t>step_05</t>
  </si>
  <si>
    <t>Stick head and neck pieces</t>
  </si>
  <si>
    <t>step_06</t>
  </si>
  <si>
    <t>step_07</t>
  </si>
  <si>
    <t>Stick body and tail pieces</t>
  </si>
  <si>
    <t>step_08</t>
  </si>
  <si>
    <t>step_09</t>
  </si>
  <si>
    <t>Product quality checking</t>
  </si>
  <si>
    <t>step_10</t>
  </si>
  <si>
    <t>Product storing</t>
  </si>
  <si>
    <t>Asset and process step assignments</t>
  </si>
  <si>
    <t>Routing</t>
  </si>
  <si>
    <t>next_process_step_key</t>
  </si>
  <si>
    <t>protec_acceleration_x</t>
  </si>
  <si>
    <t>protec_acceleration_y</t>
  </si>
  <si>
    <t>protec_acceleration_z</t>
  </si>
  <si>
    <t>acceleration_sensor</t>
  </si>
  <si>
    <t>acceleration</t>
  </si>
  <si>
    <t>Acceleration</t>
  </si>
  <si>
    <t>none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</si>
</sst>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##"/>
  </numFmts>
  <fonts count="4">
    <font>
      <sz val="11"/>
      <name val="Carlito"/>
    </font>
    <font>
      <b/>
      <sz val="14"/>
      <color rgb="FF1F4E78"/>
      <name val="Aptos"/>
    </font>
    <font>
      <sz val="11"/>
      <name val="Aptos"/>
    </font>
    <font>
      <sz val="11"/>
      <name val="Carlito"/>
    </font>
  </fonts>
  <fills count="3">
    <fill>
      <patternFill patternType="none"/>
    </fill>
    <fill>
      <patternFill patternType="gray125"/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/>
      <right/>
      <top/>
      <bottom style="thin">
        <color rgb="FFA6A6A6"/>
      </bottom>
      <diagonal/>
    </border>
  </borders>
  <cellStyleXfs count="2">
    <xf numFmtId="0" fontId="0" fillId="0" borderId="0"/>
    <xf numFmtId="0" fontId="3" fillId="0" borderId="0"/>
  </cellStyleXfs>
  <cellXfs count="11">
    <xf numFmtId="0" fontId="0" fillId="0" borderId="0" xfId="0"/>
    <xf numFmtId="0" fontId="1" fillId="0" borderId="0" xfId="1" applyFont="1"/>
    <xf numFmtId="0" fontId="0" fillId="0" borderId="1" xfId="1" applyFont="1" applyBorder="1"/>
    <xf numFmtId="0" fontId="2" fillId="0" borderId="0" xfId="1" applyFont="1"/>
    <xf numFmtId="0" fontId="2" fillId="0" borderId="1" xfId="1" applyFont="1" applyBorder="1"/>
    <xf numFmtId="0" fontId="2" fillId="0" borderId="0" xfId="1" applyFont="1" applyAlignment="1">
      <alignment wrapText="1"/>
    </xf>
    <xf numFmtId="0" fontId="2" fillId="0" borderId="0" xfId="1" applyFont="1">
      <extLst>
        <ext xmlns:xfpb="http://schemas.microsoft.com/office/spreadsheetml/2022/featurepropertybag" uri="{C7286773-470A-42A8-94C5-96B5CB345126}">
          <xfpb:xfComplement i="0"/>
        </ext>
      </extLst>
    </xf>
    <xf numFmtId="0" fontId="2" fillId="2" borderId="0" xfId="1" applyFont="1" applyFill="1"/>
    <xf numFmtId="1" fontId="2" fillId="0" borderId="0" xfId="1" applyNumberFormat="1" applyFont="1"/>
    <xf numFmtId="164" fontId="2" fillId="0" borderId="0" xfId="1" applyNumberFormat="1" applyFont="1"/>
    <xf numFmtId="164" fontId="2" fillId="2" borderId="0" xfId="1" applyNumberFormat="1" applyFont="1" applyFill="1"/>
  </cellXfs>
  <cellStyles count="2">
    <cellStyle name="Normal" xfId="1" xr:uid="{00000000-0005-0000-0000-000000000000}"/>
    <cellStyle name="Normá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microsoft.com/office/2022/11/relationships/FeaturePropertyBag" Target="featurePropertyBag/featurePropertyBag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eedWorkbookInstructions" displayName="SeedWorkbookInstructions" ref="A5:B12" totalsRowShown="0">
  <tableColumns count="2">
    <tableColumn id="1" xr3:uid="{00000000-0010-0000-0000-000001000000}" name="Rule"/>
    <tableColumn id="2" xr3:uid="{00000000-0010-0000-0000-000002000000}" name="Descripti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SeedDataSources" displayName="SeedDataSources" ref="A4:D5" totalsRowShown="0">
  <tableColumns count="4">
    <tableColumn id="1" xr3:uid="{00000000-0010-0000-0100-000001000000}" name="source_key"/>
    <tableColumn id="2" xr3:uid="{00000000-0010-0000-0100-000002000000}" name="source_name"/>
    <tableColumn id="3" xr3:uid="{00000000-0010-0000-0100-000003000000}" name="source_type"/>
    <tableColumn id="4" xr3:uid="{00000000-0010-0000-0100-000004000000}" name="enabled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eedUserTypes" displayName="SeedUserTypes" ref="A4:B10" totalsRowShown="0">
  <tableColumns count="2">
    <tableColumn id="1" xr3:uid="{00000000-0010-0000-0200-000001000000}" name="user_type_key"/>
    <tableColumn id="2" xr3:uid="{00000000-0010-0000-0200-000002000000}" name="user_type_nam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SeedProductTypes" displayName="SeedProductTypes" ref="A4:C8" totalsRowShown="0">
  <tableColumns count="3">
    <tableColumn id="1" xr3:uid="{00000000-0010-0000-0300-000001000000}" name="product_type_key"/>
    <tableColumn id="2" xr3:uid="{00000000-0010-0000-0300-000002000000}" name="product_type_name"/>
    <tableColumn id="3" xr3:uid="{00000000-0010-0000-0300-000003000000}" name="max_quantity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SeedAssets" displayName="SeedAssets" ref="A4:D11" totalsRowShown="0">
  <tableColumns count="4">
    <tableColumn id="1" xr3:uid="{00000000-0010-0000-0400-000001000000}" name="asset_key"/>
    <tableColumn id="2" xr3:uid="{00000000-0010-0000-0400-000002000000}" name="asset_name"/>
    <tableColumn id="3" xr3:uid="{00000000-0010-0000-0400-000003000000}" name="cmms_asset_id"/>
    <tableColumn id="4" xr3:uid="{00000000-0010-0000-0400-000004000000}" name="dc_asset_id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SeedMeasurementTypes" displayName="SeedMeasurementTypes" ref="A4:E9" totalsRowShown="0">
  <tableColumns count="5">
    <tableColumn id="1" xr3:uid="{00000000-0010-0000-0500-000001000000}" name="measurement_type_key"/>
    <tableColumn id="2" xr3:uid="{00000000-0010-0000-0500-000002000000}" name="measurement_type_name"/>
    <tableColumn id="3" xr3:uid="{00000000-0010-0000-0500-000003000000}" name="unit"/>
    <tableColumn id="4" xr3:uid="{00000000-0010-0000-0500-000004000000}" name="unit_name"/>
    <tableColumn id="5" xr3:uid="{00000000-0010-0000-0500-000005000000}" name="unit_symbol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SeedSensorTypes" displayName="SeedSensorTypes" ref="A4:F9" totalsRowShown="0">
  <tableColumns count="6">
    <tableColumn id="1" xr3:uid="{00000000-0010-0000-0600-000001000000}" name="sensor_type_key"/>
    <tableColumn id="2" xr3:uid="{00000000-0010-0000-0600-000002000000}" name="type_name"/>
    <tableColumn id="3" xr3:uid="{00000000-0010-0000-0600-000003000000}" name="max_value"/>
    <tableColumn id="4" xr3:uid="{00000000-0010-0000-0600-000004000000}" name="min_value"/>
    <tableColumn id="5" xr3:uid="{00000000-0010-0000-0600-000005000000}" name="measurement_type_key"/>
    <tableColumn id="6" xr3:uid="{00000000-0010-0000-0600-000006000000}" name="accuracy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SeedSensors" displayName="SeedSensors" ref="A4:H21" totalsRowShown="0">
  <tableColumns count="8">
    <tableColumn id="1" xr3:uid="{00000000-0010-0000-0700-000001000000}" name="sensor_key"/>
    <tableColumn id="2" xr3:uid="{00000000-0010-0000-0700-000002000000}" name="sensor_name"/>
    <tableColumn id="3" xr3:uid="{00000000-0010-0000-0700-000003000000}" name="sensor_type_key"/>
    <tableColumn id="4" xr3:uid="{00000000-0010-0000-0700-000004000000}" name="asset_key"/>
    <tableColumn id="5" xr3:uid="{00000000-0010-0000-0700-000005000000}" name="measurement_frequency"/>
    <tableColumn id="6" xr3:uid="{00000000-0010-0000-0700-000006000000}" name="ranges_key"/>
    <tableColumn id="7" xr3:uid="{00000000-0010-0000-0700-000007000000}" name="metric_function_id"/>
    <tableColumn id="8" xr3:uid="{00000000-0010-0000-0700-000008000000}" name="chart_aggregation_method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SeedProcessConfigurations" displayName="SeedProcessConfigurations" ref="A4:E5" totalsRowShown="0">
  <tableColumns count="5">
    <tableColumn id="1" xr3:uid="{00000000-0010-0000-0800-000001000000}" name="configuration_key"/>
    <tableColumn id="2" xr3:uid="{00000000-0010-0000-0800-000002000000}" name="configuration_name"/>
    <tableColumn id="3" xr3:uid="{00000000-0010-0000-0800-000003000000}" name="valid_from"/>
    <tableColumn id="4" xr3:uid="{00000000-0010-0000-0800-000004000000}" name="valid_to"/>
    <tableColumn id="5" xr3:uid="{00000000-0010-0000-0800-000005000000}" name="is_active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SeedProcessSteps" displayName="SeedProcessSteps" ref="A4:C14" totalsRowShown="0">
  <tableColumns count="3">
    <tableColumn id="1" xr3:uid="{00000000-0010-0000-0900-000001000000}" name="process_step_key"/>
    <tableColumn id="2" xr3:uid="{00000000-0010-0000-0900-000002000000}" name="process_step_name"/>
    <tableColumn id="3" xr3:uid="{00000000-0010-0000-0900-000003000000}" name="processing_time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SeedAssetProcessSteps" displayName="SeedAssetProcessSteps" ref="A4:C14" totalsRowShown="0">
  <tableColumns count="3">
    <tableColumn id="1" xr3:uid="{00000000-0010-0000-0A00-000001000000}" name="configuration_key"/>
    <tableColumn id="2" xr3:uid="{00000000-0010-0000-0A00-000002000000}" name="asset_key"/>
    <tableColumn id="3" xr3:uid="{00000000-0010-0000-0A00-000003000000}" name="process_step_key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SeedRouting" displayName="SeedRouting" ref="A4:C13" totalsRowShown="0">
  <tableColumns count="3">
    <tableColumn id="1" xr3:uid="{00000000-0010-0000-0B00-000001000000}" name="configuration_key"/>
    <tableColumn id="2" xr3:uid="{00000000-0010-0000-0B00-000002000000}" name="process_step_key"/>
    <tableColumn id="3" xr3:uid="{00000000-0010-0000-0B00-000003000000}" name="next_process_step_ke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F12"/>
  <sheetViews>
    <sheetView showGridLines="0" workbookViewId="0"/>
  </sheetViews>
  <sheetFormatPr defaultRowHeight="14.25"/>
  <cols>
    <col min="1" max="1" width="26" customWidth="1"/>
    <col min="2" max="2" width="100" customWidth="1"/>
  </cols>
  <sheetData>
    <row r="2" spans="1:6" ht="18.75">
      <c r="A2" s="1" t="s">
        <v>0</v>
      </c>
      <c r="B2" s="3"/>
    </row>
    <row r="3" spans="1:6" ht="15">
      <c r="A3" s="4"/>
      <c r="B3" s="4"/>
      <c r="C3" s="2"/>
      <c r="D3" s="2"/>
      <c r="E3" s="2"/>
      <c r="F3" s="2"/>
    </row>
    <row r="4" spans="1:6" ht="15">
      <c r="A4" s="3"/>
      <c r="B4" s="3"/>
    </row>
    <row r="5" spans="1:6" ht="24" customHeight="1">
      <c r="A5" s="3" t="s">
        <v>1</v>
      </c>
      <c r="B5" s="3" t="s">
        <v>2</v>
      </c>
    </row>
    <row r="6" spans="1:6" ht="15">
      <c r="A6" s="3" t="s">
        <v>3</v>
      </c>
      <c r="B6" s="5" t="s">
        <v>4</v>
      </c>
    </row>
    <row r="7" spans="1:6" ht="15">
      <c r="A7" s="3" t="s">
        <v>5</v>
      </c>
      <c r="B7" s="5" t="s">
        <v>6</v>
      </c>
    </row>
    <row r="8" spans="1:6" ht="15">
      <c r="A8" s="3" t="s">
        <v>7</v>
      </c>
      <c r="B8" s="5" t="s">
        <v>8</v>
      </c>
    </row>
    <row r="9" spans="1:6" ht="15">
      <c r="A9" s="3" t="s">
        <v>9</v>
      </c>
      <c r="B9" s="5" t="s">
        <v>10</v>
      </c>
    </row>
    <row r="10" spans="1:6" ht="15">
      <c r="A10" s="3" t="s">
        <v>11</v>
      </c>
      <c r="B10" s="5" t="s">
        <v>12</v>
      </c>
    </row>
    <row r="11" spans="1:6" ht="15">
      <c r="A11" s="3" t="s">
        <v>13</v>
      </c>
      <c r="B11" s="5" t="s">
        <v>14</v>
      </c>
    </row>
    <row r="12" spans="1:6" ht="15">
      <c r="A12" s="3" t="s">
        <v>15</v>
      </c>
      <c r="B12" s="5" t="s">
        <v>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D5"/>
  <sheetViews>
    <sheetView showGridLines="0" workbookViewId="0">
      <pane ySplit="4" topLeftCell="A5" activePane="bottomLeft" state="frozen"/>
      <selection pane="bottomLeft"/>
    </sheetView>
  </sheetViews>
  <sheetFormatPr defaultRowHeight="14.25"/>
  <cols>
    <col min="1" max="1" width="20" customWidth="1"/>
    <col min="2" max="2" width="28" customWidth="1"/>
    <col min="3" max="3" width="18" customWidth="1"/>
    <col min="4" max="4" width="12" customWidth="1"/>
  </cols>
  <sheetData>
    <row r="2" spans="1:4" ht="18.75">
      <c r="A2" s="1" t="s">
        <v>17</v>
      </c>
      <c r="B2" s="3"/>
      <c r="C2" s="3"/>
      <c r="D2" s="3"/>
    </row>
    <row r="3" spans="1:4" ht="15">
      <c r="A3" s="4"/>
      <c r="B3" s="4"/>
      <c r="C3" s="4"/>
      <c r="D3" s="4"/>
    </row>
    <row r="4" spans="1:4" ht="26.1" customHeight="1">
      <c r="A4" s="3" t="s">
        <v>18</v>
      </c>
      <c r="B4" s="3" t="s">
        <v>19</v>
      </c>
      <c r="C4" s="3" t="s">
        <v>20</v>
      </c>
      <c r="D4" s="3" t="s">
        <v>21</v>
      </c>
    </row>
    <row r="5" spans="1:4" ht="15">
      <c r="A5" s="3" t="s">
        <v>22</v>
      </c>
      <c r="B5" s="3" t="s">
        <v>23</v>
      </c>
      <c r="C5" s="3" t="s">
        <v>24</v>
      </c>
      <c r="D5" s="6" t="b">
        <v>1</v>
      </c>
    </row>
  </sheetData>
  <dataValidations count="1">
    <dataValidation type="list" sqref="C5" xr:uid="{00000000-0002-0000-0100-000000000000}">
      <formula1>"physical,simulation"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B10"/>
  <sheetViews>
    <sheetView showGridLines="0" workbookViewId="0">
      <pane ySplit="4" topLeftCell="A5" activePane="bottomLeft" state="frozen"/>
      <selection pane="bottomLeft"/>
    </sheetView>
  </sheetViews>
  <sheetFormatPr defaultRowHeight="14.25"/>
  <cols>
    <col min="1" max="1" width="24" customWidth="1"/>
    <col min="2" max="2" width="26" customWidth="1"/>
  </cols>
  <sheetData>
    <row r="2" spans="1:2" ht="18.75">
      <c r="A2" s="1" t="s">
        <v>25</v>
      </c>
      <c r="B2" s="3"/>
    </row>
    <row r="3" spans="1:2" ht="15">
      <c r="A3" s="4"/>
      <c r="B3" s="4"/>
    </row>
    <row r="4" spans="1:2" ht="26.1" customHeight="1">
      <c r="A4" s="3" t="s">
        <v>26</v>
      </c>
      <c r="B4" s="3" t="s">
        <v>27</v>
      </c>
    </row>
    <row r="5" spans="1:2" ht="15">
      <c r="A5" s="3" t="s">
        <v>28</v>
      </c>
      <c r="B5" s="3" t="s">
        <v>29</v>
      </c>
    </row>
    <row r="6" spans="1:2" ht="15">
      <c r="A6" s="3" t="s">
        <v>30</v>
      </c>
      <c r="B6" s="3" t="s">
        <v>31</v>
      </c>
    </row>
    <row r="7" spans="1:2" ht="15">
      <c r="A7" s="3" t="s">
        <v>32</v>
      </c>
      <c r="B7" s="3" t="s">
        <v>33</v>
      </c>
    </row>
    <row r="8" spans="1:2" ht="15">
      <c r="A8" s="3" t="s">
        <v>34</v>
      </c>
      <c r="B8" s="3" t="s">
        <v>35</v>
      </c>
    </row>
    <row r="9" spans="1:2" ht="15">
      <c r="A9" s="3" t="s">
        <v>36</v>
      </c>
      <c r="B9" s="3" t="s">
        <v>37</v>
      </c>
    </row>
    <row r="10" spans="1:2" ht="15">
      <c r="A10" s="3" t="s">
        <v>38</v>
      </c>
      <c r="B10" s="3" t="s">
        <v>39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C8"/>
  <sheetViews>
    <sheetView showGridLines="0" workbookViewId="0">
      <pane ySplit="4" topLeftCell="A5" activePane="bottomLeft" state="frozen"/>
      <selection pane="bottomLeft"/>
    </sheetView>
  </sheetViews>
  <sheetFormatPr defaultRowHeight="14.25"/>
  <cols>
    <col min="1" max="2" width="24" customWidth="1"/>
    <col min="3" max="3" width="18" customWidth="1"/>
  </cols>
  <sheetData>
    <row r="2" spans="1:3" ht="18.75">
      <c r="A2" s="1" t="s">
        <v>40</v>
      </c>
      <c r="B2" s="3"/>
      <c r="C2" s="3"/>
    </row>
    <row r="3" spans="1:3" ht="15">
      <c r="A3" s="4"/>
      <c r="B3" s="4"/>
      <c r="C3" s="4"/>
    </row>
    <row r="4" spans="1:3" ht="26.1" customHeight="1">
      <c r="A4" s="3" t="s">
        <v>41</v>
      </c>
      <c r="B4" s="3" t="s">
        <v>42</v>
      </c>
      <c r="C4" s="3" t="s">
        <v>43</v>
      </c>
    </row>
    <row r="5" spans="1:3" ht="15">
      <c r="A5" s="3" t="s">
        <v>44</v>
      </c>
      <c r="B5" s="3" t="s">
        <v>45</v>
      </c>
      <c r="C5" s="8">
        <v>19</v>
      </c>
    </row>
    <row r="6" spans="1:3" ht="15">
      <c r="A6" s="3" t="s">
        <v>46</v>
      </c>
      <c r="B6" s="3" t="s">
        <v>47</v>
      </c>
      <c r="C6" s="8">
        <v>19</v>
      </c>
    </row>
    <row r="7" spans="1:3" ht="15">
      <c r="A7" s="3" t="s">
        <v>48</v>
      </c>
      <c r="B7" s="3" t="s">
        <v>49</v>
      </c>
      <c r="C7" s="8">
        <v>19</v>
      </c>
    </row>
    <row r="8" spans="1:3" ht="15">
      <c r="A8" s="3" t="s">
        <v>50</v>
      </c>
      <c r="B8" s="3" t="s">
        <v>51</v>
      </c>
      <c r="C8" s="8">
        <v>19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D11"/>
  <sheetViews>
    <sheetView showGridLines="0" workbookViewId="0">
      <pane ySplit="4" topLeftCell="A5" activePane="bottomLeft" state="frozen"/>
      <selection pane="bottomLeft"/>
    </sheetView>
  </sheetViews>
  <sheetFormatPr defaultRowHeight="14.25"/>
  <cols>
    <col min="1" max="1" width="24" customWidth="1"/>
    <col min="2" max="2" width="26" customWidth="1"/>
    <col min="3" max="3" width="20" customWidth="1"/>
    <col min="4" max="4" width="28" customWidth="1"/>
  </cols>
  <sheetData>
    <row r="2" spans="1:4" ht="18.75">
      <c r="A2" s="1" t="s">
        <v>52</v>
      </c>
      <c r="B2" s="3"/>
      <c r="C2" s="3"/>
      <c r="D2" s="3"/>
    </row>
    <row r="3" spans="1:4" ht="15">
      <c r="A3" s="4"/>
      <c r="B3" s="4"/>
      <c r="C3" s="4"/>
      <c r="D3" s="4"/>
    </row>
    <row r="4" spans="1:4" ht="26.1" customHeight="1">
      <c r="A4" s="3" t="s">
        <v>53</v>
      </c>
      <c r="B4" s="3" t="s">
        <v>54</v>
      </c>
      <c r="C4" s="3" t="s">
        <v>55</v>
      </c>
      <c r="D4" s="3" t="s">
        <v>56</v>
      </c>
    </row>
    <row r="5" spans="1:4" ht="15">
      <c r="A5" s="3" t="s">
        <v>57</v>
      </c>
      <c r="B5" s="3" t="s">
        <v>58</v>
      </c>
      <c r="C5" s="7"/>
      <c r="D5" s="7"/>
    </row>
    <row r="6" spans="1:4" ht="15">
      <c r="A6" s="3" t="s">
        <v>59</v>
      </c>
      <c r="B6" s="3" t="s">
        <v>60</v>
      </c>
      <c r="C6" s="7"/>
      <c r="D6" s="7"/>
    </row>
    <row r="7" spans="1:4" ht="15">
      <c r="A7" s="3" t="s">
        <v>61</v>
      </c>
      <c r="B7" s="3" t="s">
        <v>62</v>
      </c>
      <c r="C7" s="7"/>
      <c r="D7" s="7"/>
    </row>
    <row r="8" spans="1:4" ht="15">
      <c r="A8" s="3" t="s">
        <v>63</v>
      </c>
      <c r="B8" s="3" t="s">
        <v>64</v>
      </c>
      <c r="C8" s="7"/>
      <c r="D8" s="7"/>
    </row>
    <row r="9" spans="1:4" ht="15">
      <c r="A9" s="3" t="s">
        <v>65</v>
      </c>
      <c r="B9" s="3" t="s">
        <v>65</v>
      </c>
      <c r="C9" s="7"/>
      <c r="D9" s="7"/>
    </row>
    <row r="10" spans="1:4" ht="15">
      <c r="A10" s="3" t="s">
        <v>66</v>
      </c>
      <c r="B10" s="3" t="s">
        <v>67</v>
      </c>
      <c r="C10" s="7"/>
      <c r="D10" s="7"/>
    </row>
    <row r="11" spans="1:4" ht="15">
      <c r="A11" s="3" t="s">
        <v>68</v>
      </c>
      <c r="B11" s="3" t="s">
        <v>69</v>
      </c>
      <c r="C11" s="7"/>
      <c r="D11" s="7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E9"/>
  <sheetViews>
    <sheetView showGridLines="0" workbookViewId="0">
      <pane ySplit="4" topLeftCell="A5" activePane="bottomLeft" state="frozen"/>
      <selection pane="bottomLeft" activeCell="E55" sqref="E55"/>
    </sheetView>
  </sheetViews>
  <sheetFormatPr defaultRowHeight="14.25"/>
  <cols>
    <col min="1" max="2" width="28" customWidth="1"/>
    <col min="3" max="3" width="14" customWidth="1"/>
    <col min="4" max="4" width="20" customWidth="1"/>
    <col min="5" max="5" width="18" customWidth="1"/>
  </cols>
  <sheetData>
    <row r="2" spans="1:5" ht="18.75">
      <c r="A2" s="1" t="s">
        <v>70</v>
      </c>
      <c r="B2" s="3"/>
      <c r="C2" s="3"/>
      <c r="D2" s="3"/>
      <c r="E2" s="3"/>
    </row>
    <row r="3" spans="1:5" ht="15">
      <c r="A3" s="4"/>
      <c r="B3" s="4"/>
      <c r="C3" s="4"/>
      <c r="D3" s="4"/>
      <c r="E3" s="4"/>
    </row>
    <row r="4" spans="1:5" ht="26.1" customHeight="1">
      <c r="A4" s="3" t="s">
        <v>71</v>
      </c>
      <c r="B4" s="3" t="s">
        <v>72</v>
      </c>
      <c r="C4" s="3" t="s">
        <v>73</v>
      </c>
      <c r="D4" s="3" t="s">
        <v>74</v>
      </c>
      <c r="E4" s="3" t="s">
        <v>75</v>
      </c>
    </row>
    <row r="5" spans="1:5" ht="15">
      <c r="A5" s="3" t="s">
        <v>76</v>
      </c>
      <c r="B5" s="3" t="s">
        <v>77</v>
      </c>
      <c r="C5" s="3" t="s">
        <v>78</v>
      </c>
      <c r="D5" s="7"/>
      <c r="E5" s="7"/>
    </row>
    <row r="6" spans="1:5" ht="15">
      <c r="A6" s="3" t="s">
        <v>79</v>
      </c>
      <c r="B6" s="3" t="s">
        <v>80</v>
      </c>
      <c r="C6" s="3" t="s">
        <v>78</v>
      </c>
      <c r="D6" s="7"/>
      <c r="E6" s="7"/>
    </row>
    <row r="7" spans="1:5" ht="15">
      <c r="A7" s="3" t="s">
        <v>81</v>
      </c>
      <c r="B7" s="3" t="s">
        <v>82</v>
      </c>
      <c r="C7" s="3" t="s">
        <v>83</v>
      </c>
      <c r="D7" s="7"/>
      <c r="E7" s="7"/>
    </row>
    <row r="8" spans="1:5" ht="15">
      <c r="A8" s="3" t="s">
        <v>84</v>
      </c>
      <c r="B8" s="3" t="s">
        <v>85</v>
      </c>
      <c r="C8" s="3" t="s">
        <v>86</v>
      </c>
      <c r="D8" s="7"/>
      <c r="E8" s="7"/>
    </row>
    <row r="9" spans="1:5">
      <c r="A9" t="s">
        <v>172</v>
      </c>
      <c r="B9" t="s">
        <v>173</v>
      </c>
      <c r="C9" t="s">
        <v>174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9"/>
  <sheetViews>
    <sheetView showGridLines="0" workbookViewId="0">
      <pane ySplit="4" topLeftCell="A5" activePane="bottomLeft" state="frozen"/>
      <selection pane="bottomLeft" activeCell="E9" sqref="E9"/>
    </sheetView>
  </sheetViews>
  <sheetFormatPr defaultRowHeight="14.25"/>
  <cols>
    <col min="1" max="2" width="24" customWidth="1"/>
    <col min="3" max="4" width="16" customWidth="1"/>
    <col min="5" max="5" width="28" customWidth="1"/>
    <col min="6" max="6" width="16" customWidth="1"/>
  </cols>
  <sheetData>
    <row r="2" spans="1:6" ht="18.75">
      <c r="A2" s="1" t="s">
        <v>87</v>
      </c>
      <c r="B2" s="3"/>
      <c r="C2" s="3"/>
      <c r="D2" s="3"/>
      <c r="E2" s="3"/>
      <c r="F2" s="3"/>
    </row>
    <row r="3" spans="1:6" ht="15">
      <c r="A3" s="4"/>
      <c r="B3" s="4"/>
      <c r="C3" s="4"/>
      <c r="D3" s="4"/>
      <c r="E3" s="4"/>
      <c r="F3" s="4"/>
    </row>
    <row r="4" spans="1:6" ht="26.1" customHeight="1">
      <c r="A4" s="3" t="s">
        <v>88</v>
      </c>
      <c r="B4" s="3" t="s">
        <v>89</v>
      </c>
      <c r="C4" s="3" t="s">
        <v>90</v>
      </c>
      <c r="D4" s="3" t="s">
        <v>91</v>
      </c>
      <c r="E4" s="3" t="s">
        <v>71</v>
      </c>
      <c r="F4" s="3" t="s">
        <v>92</v>
      </c>
    </row>
    <row r="5" spans="1:6" ht="15">
      <c r="A5" s="3" t="s">
        <v>93</v>
      </c>
      <c r="B5" s="3" t="s">
        <v>94</v>
      </c>
      <c r="C5" s="9">
        <v>1</v>
      </c>
      <c r="D5" s="9">
        <v>0</v>
      </c>
      <c r="E5" s="9" t="s">
        <v>76</v>
      </c>
      <c r="F5" s="10"/>
    </row>
    <row r="6" spans="1:6" ht="15">
      <c r="A6" s="3" t="s">
        <v>95</v>
      </c>
      <c r="B6" s="3" t="s">
        <v>96</v>
      </c>
      <c r="C6" s="9">
        <v>1</v>
      </c>
      <c r="D6" s="9">
        <v>0</v>
      </c>
      <c r="E6" s="9" t="s">
        <v>79</v>
      </c>
      <c r="F6" s="10"/>
    </row>
    <row r="7" spans="1:6" ht="15">
      <c r="A7" s="3" t="s">
        <v>97</v>
      </c>
      <c r="B7" s="3" t="s">
        <v>98</v>
      </c>
      <c r="C7" s="9">
        <v>50</v>
      </c>
      <c r="D7" s="9">
        <v>0</v>
      </c>
      <c r="E7" s="9" t="s">
        <v>81</v>
      </c>
      <c r="F7" s="10"/>
    </row>
    <row r="8" spans="1:6" ht="15">
      <c r="A8" s="3" t="s">
        <v>99</v>
      </c>
      <c r="B8" s="3" t="s">
        <v>100</v>
      </c>
      <c r="C8" s="9">
        <v>90</v>
      </c>
      <c r="D8" s="9">
        <v>20</v>
      </c>
      <c r="E8" s="9" t="s">
        <v>84</v>
      </c>
      <c r="F8" s="10"/>
    </row>
    <row r="9" spans="1:6">
      <c r="A9" t="s">
        <v>171</v>
      </c>
      <c r="B9" t="s">
        <v>171</v>
      </c>
      <c r="C9">
        <v>0</v>
      </c>
      <c r="D9">
        <v>2000</v>
      </c>
      <c r="E9" t="s">
        <v>172</v>
      </c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600-000000000000}">
          <x14:formula1>
            <xm:f>MeasurementTypes!$A$5:$A$1000</xm:f>
          </x14:formula1>
          <xm:sqref>E5:E9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H21"/>
  <sheetViews>
    <sheetView showGridLines="0" tabSelected="1" workbookViewId="0">
      <pane ySplit="4" topLeftCell="A5" activePane="bottomLeft" state="frozen"/>
      <selection pane="bottomLeft" activeCell="C32" sqref="C32"/>
    </sheetView>
  </sheetViews>
  <sheetFormatPr defaultRowHeight="14.25"/>
  <cols>
    <col min="1" max="1" width="28" customWidth="1"/>
    <col min="2" max="2" width="30" customWidth="1"/>
    <col min="3" max="3" width="24" customWidth="1"/>
    <col min="4" max="4" width="22" customWidth="1"/>
    <col min="5" max="5" width="24" customWidth="1"/>
    <col min="6" max="6" width="18" customWidth="1"/>
    <col min="7" max="8" width="30" customWidth="1"/>
  </cols>
  <sheetData>
    <row r="2" spans="1:8" ht="18.75">
      <c r="A2" s="1" t="s">
        <v>101</v>
      </c>
      <c r="B2" s="3"/>
      <c r="C2" s="3"/>
      <c r="D2" s="3"/>
      <c r="E2" s="3"/>
      <c r="F2" s="3"/>
      <c r="G2" s="3"/>
      <c r="H2" s="3"/>
    </row>
    <row r="3" spans="1:8" ht="15">
      <c r="A3" s="4"/>
      <c r="B3" s="4"/>
      <c r="C3" s="4"/>
      <c r="D3" s="4"/>
      <c r="E3" s="4"/>
      <c r="F3" s="4"/>
      <c r="G3" s="4"/>
      <c r="H3" s="4"/>
    </row>
    <row r="4" spans="1:8" ht="26.1" customHeight="1">
      <c r="A4" s="3" t="s">
        <v>102</v>
      </c>
      <c r="B4" s="3" t="s">
        <v>103</v>
      </c>
      <c r="C4" s="3" t="s">
        <v>88</v>
      </c>
      <c r="D4" s="3" t="s">
        <v>53</v>
      </c>
      <c r="E4" s="3" t="s">
        <v>104</v>
      </c>
      <c r="F4" s="3" t="s">
        <v>105</v>
      </c>
      <c r="G4" s="3" t="s">
        <v>106</v>
      </c>
      <c r="H4" s="3" t="s">
        <v>107</v>
      </c>
    </row>
    <row r="5" spans="1:8" ht="15">
      <c r="A5" s="3" t="s">
        <v>108</v>
      </c>
      <c r="B5" s="3" t="s">
        <v>109</v>
      </c>
      <c r="C5" s="3" t="s">
        <v>95</v>
      </c>
      <c r="D5" s="3" t="s">
        <v>57</v>
      </c>
      <c r="E5" s="9">
        <v>0.5</v>
      </c>
      <c r="F5" s="7"/>
      <c r="G5" s="7"/>
      <c r="H5" s="3" t="s">
        <v>110</v>
      </c>
    </row>
    <row r="6" spans="1:8" ht="15">
      <c r="A6" s="3" t="s">
        <v>111</v>
      </c>
      <c r="B6" s="3" t="s">
        <v>112</v>
      </c>
      <c r="C6" s="3" t="s">
        <v>95</v>
      </c>
      <c r="D6" s="3" t="s">
        <v>57</v>
      </c>
      <c r="E6" s="9">
        <v>0.5</v>
      </c>
      <c r="F6" s="7"/>
      <c r="G6" s="7"/>
      <c r="H6" s="3" t="s">
        <v>110</v>
      </c>
    </row>
    <row r="7" spans="1:8" ht="15">
      <c r="A7" s="3" t="s">
        <v>113</v>
      </c>
      <c r="B7" s="3" t="s">
        <v>114</v>
      </c>
      <c r="C7" s="3" t="s">
        <v>93</v>
      </c>
      <c r="D7" s="3" t="s">
        <v>57</v>
      </c>
      <c r="E7" s="9">
        <v>0.5</v>
      </c>
      <c r="F7" s="7"/>
      <c r="G7" s="7"/>
      <c r="H7" s="3" t="s">
        <v>110</v>
      </c>
    </row>
    <row r="8" spans="1:8" ht="15">
      <c r="A8" s="3" t="s">
        <v>115</v>
      </c>
      <c r="B8" s="3" t="s">
        <v>116</v>
      </c>
      <c r="C8" s="3" t="s">
        <v>95</v>
      </c>
      <c r="D8" s="3" t="s">
        <v>59</v>
      </c>
      <c r="E8" s="9">
        <v>0.5</v>
      </c>
      <c r="F8" s="7"/>
      <c r="G8" s="7"/>
      <c r="H8" s="3" t="s">
        <v>110</v>
      </c>
    </row>
    <row r="9" spans="1:8" ht="15">
      <c r="A9" s="3" t="s">
        <v>117</v>
      </c>
      <c r="B9" s="3" t="s">
        <v>118</v>
      </c>
      <c r="C9" s="3" t="s">
        <v>95</v>
      </c>
      <c r="D9" s="3" t="s">
        <v>59</v>
      </c>
      <c r="E9" s="9">
        <v>0.5</v>
      </c>
      <c r="F9" s="7"/>
      <c r="G9" s="7"/>
      <c r="H9" s="3" t="s">
        <v>110</v>
      </c>
    </row>
    <row r="10" spans="1:8" ht="15">
      <c r="A10" s="3" t="s">
        <v>119</v>
      </c>
      <c r="B10" s="3" t="s">
        <v>120</v>
      </c>
      <c r="C10" s="3" t="s">
        <v>93</v>
      </c>
      <c r="D10" s="3" t="s">
        <v>59</v>
      </c>
      <c r="E10" s="9">
        <v>0.5</v>
      </c>
      <c r="F10" s="7"/>
      <c r="G10" s="7"/>
      <c r="H10" s="3" t="s">
        <v>110</v>
      </c>
    </row>
    <row r="11" spans="1:8" ht="15">
      <c r="A11" s="3" t="s">
        <v>121</v>
      </c>
      <c r="B11" s="3" t="s">
        <v>122</v>
      </c>
      <c r="C11" s="3" t="s">
        <v>95</v>
      </c>
      <c r="D11" s="3" t="s">
        <v>61</v>
      </c>
      <c r="E11" s="9">
        <v>0.5</v>
      </c>
      <c r="F11" s="7"/>
      <c r="G11" s="7"/>
      <c r="H11" s="3" t="s">
        <v>110</v>
      </c>
    </row>
    <row r="12" spans="1:8" ht="15">
      <c r="A12" s="3" t="s">
        <v>123</v>
      </c>
      <c r="B12" s="3" t="s">
        <v>124</v>
      </c>
      <c r="C12" s="3" t="s">
        <v>95</v>
      </c>
      <c r="D12" s="3" t="s">
        <v>61</v>
      </c>
      <c r="E12" s="9">
        <v>0.5</v>
      </c>
      <c r="F12" s="7"/>
      <c r="G12" s="7"/>
      <c r="H12" s="3" t="s">
        <v>110</v>
      </c>
    </row>
    <row r="13" spans="1:8" ht="15">
      <c r="A13" s="3" t="s">
        <v>125</v>
      </c>
      <c r="B13" s="3" t="s">
        <v>126</v>
      </c>
      <c r="C13" s="3" t="s">
        <v>93</v>
      </c>
      <c r="D13" s="3" t="s">
        <v>61</v>
      </c>
      <c r="E13" s="9">
        <v>0.5</v>
      </c>
      <c r="F13" s="7"/>
      <c r="G13" s="7"/>
      <c r="H13" s="3" t="s">
        <v>110</v>
      </c>
    </row>
    <row r="14" spans="1:8" ht="15">
      <c r="A14" s="3" t="s">
        <v>127</v>
      </c>
      <c r="B14" s="3" t="s">
        <v>128</v>
      </c>
      <c r="C14" s="3" t="s">
        <v>95</v>
      </c>
      <c r="D14" s="3" t="s">
        <v>63</v>
      </c>
      <c r="E14" s="9">
        <v>0.5</v>
      </c>
      <c r="F14" s="7"/>
      <c r="G14" s="7"/>
      <c r="H14" s="3" t="s">
        <v>110</v>
      </c>
    </row>
    <row r="15" spans="1:8" ht="15">
      <c r="A15" s="3" t="s">
        <v>129</v>
      </c>
      <c r="B15" s="3" t="s">
        <v>130</v>
      </c>
      <c r="C15" s="3" t="s">
        <v>95</v>
      </c>
      <c r="D15" s="3" t="s">
        <v>63</v>
      </c>
      <c r="E15" s="9">
        <v>0.5</v>
      </c>
      <c r="F15" s="7"/>
      <c r="G15" s="7"/>
      <c r="H15" s="3" t="s">
        <v>110</v>
      </c>
    </row>
    <row r="16" spans="1:8" ht="15">
      <c r="A16" s="3" t="s">
        <v>131</v>
      </c>
      <c r="B16" s="3" t="s">
        <v>132</v>
      </c>
      <c r="C16" s="3" t="s">
        <v>93</v>
      </c>
      <c r="D16" s="3" t="s">
        <v>63</v>
      </c>
      <c r="E16" s="9">
        <v>0.5</v>
      </c>
      <c r="F16" s="7"/>
      <c r="G16" s="7"/>
      <c r="H16" s="3" t="s">
        <v>110</v>
      </c>
    </row>
    <row r="17" spans="1:8" ht="15">
      <c r="A17" s="3" t="s">
        <v>133</v>
      </c>
      <c r="B17" s="3" t="s">
        <v>133</v>
      </c>
      <c r="C17" s="3" t="s">
        <v>97</v>
      </c>
      <c r="D17" s="3" t="s">
        <v>65</v>
      </c>
      <c r="E17" s="9">
        <v>0.5</v>
      </c>
      <c r="F17" s="7"/>
      <c r="G17" s="7"/>
      <c r="H17" s="3" t="s">
        <v>110</v>
      </c>
    </row>
    <row r="18" spans="1:8" ht="15">
      <c r="A18" s="3" t="s">
        <v>134</v>
      </c>
      <c r="B18" s="3" t="s">
        <v>134</v>
      </c>
      <c r="C18" s="3" t="s">
        <v>99</v>
      </c>
      <c r="D18" s="3" t="s">
        <v>65</v>
      </c>
      <c r="E18" s="9">
        <v>0.5</v>
      </c>
      <c r="F18" s="7"/>
      <c r="G18" s="7"/>
      <c r="H18" s="3" t="s">
        <v>110</v>
      </c>
    </row>
    <row r="19" spans="1:8">
      <c r="A19" t="s">
        <v>168</v>
      </c>
      <c r="B19" t="s">
        <v>168</v>
      </c>
      <c r="C19" t="s">
        <v>171</v>
      </c>
      <c r="D19" t="s">
        <v>59</v>
      </c>
      <c r="E19">
        <v>0.1</v>
      </c>
      <c r="H19" t="s">
        <v>110</v>
      </c>
    </row>
    <row r="20" spans="1:8">
      <c r="A20" t="s">
        <v>169</v>
      </c>
      <c r="B20" t="s">
        <v>169</v>
      </c>
      <c r="C20" t="s">
        <v>171</v>
      </c>
      <c r="D20" t="s">
        <v>59</v>
      </c>
      <c r="E20">
        <v>0.1</v>
      </c>
      <c r="H20" t="s">
        <v>110</v>
      </c>
    </row>
    <row r="21" spans="1:8">
      <c r="A21" t="s">
        <v>170</v>
      </c>
      <c r="B21" t="s">
        <v>170</v>
      </c>
      <c r="C21" t="s">
        <v>171</v>
      </c>
      <c r="D21" t="s">
        <v>59</v>
      </c>
      <c r="E21">
        <v>0.1</v>
      </c>
      <c r="H21" t="s">
        <v>110</v>
      </c>
    </row>
  </sheetData>
  <dataValidations count="1">
    <dataValidation type="list" sqref="H5:H21" xr:uid="{00000000-0002-0000-0700-000002000000}">
      <formula1>"average,latest,minimum,maximum"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700-000000000000}">
          <x14:formula1>
            <xm:f>SensorTypes!$A$5:$A$1000</xm:f>
          </x14:formula1>
          <xm:sqref>C5:C21</xm:sqref>
        </x14:dataValidation>
        <x14:dataValidation type="list" xr:uid="{00000000-0002-0000-0700-000001000000}">
          <x14:formula1>
            <xm:f>Assets!$A$5:$A$1000</xm:f>
          </x14:formula1>
          <xm:sqref>D5:D21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E5"/>
  <sheetViews>
    <sheetView showGridLines="0" workbookViewId="0">
      <pane ySplit="4" topLeftCell="A5" activePane="bottomLeft" state="frozen"/>
      <selection pane="bottomLeft"/>
    </sheetView>
  </sheetViews>
  <sheetFormatPr defaultRowHeight="14.25"/>
  <cols>
    <col min="1" max="1" width="26" customWidth="1"/>
    <col min="2" max="2" width="28" customWidth="1"/>
    <col min="3" max="4" width="22" customWidth="1"/>
    <col min="5" max="5" width="16" customWidth="1"/>
  </cols>
  <sheetData>
    <row r="2" spans="1:5" ht="18.75">
      <c r="A2" s="1" t="s">
        <v>135</v>
      </c>
      <c r="B2" s="3"/>
      <c r="C2" s="3"/>
      <c r="D2" s="3"/>
      <c r="E2" s="3"/>
    </row>
    <row r="3" spans="1:5" ht="15">
      <c r="A3" s="4"/>
      <c r="B3" s="4"/>
      <c r="C3" s="4"/>
      <c r="D3" s="4"/>
      <c r="E3" s="4"/>
    </row>
    <row r="4" spans="1:5" ht="26.1" customHeight="1">
      <c r="A4" s="3" t="s">
        <v>136</v>
      </c>
      <c r="B4" s="3" t="s">
        <v>137</v>
      </c>
      <c r="C4" s="3" t="s">
        <v>138</v>
      </c>
      <c r="D4" s="3" t="s">
        <v>139</v>
      </c>
      <c r="E4" s="3" t="s">
        <v>140</v>
      </c>
    </row>
    <row r="5" spans="1:5" ht="15">
      <c r="A5" s="3" t="s">
        <v>141</v>
      </c>
      <c r="B5" s="3" t="s">
        <v>142</v>
      </c>
      <c r="C5" s="7"/>
      <c r="D5" s="7"/>
      <c r="E5" s="6" t="b">
        <v>1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C14"/>
  <sheetViews>
    <sheetView showGridLines="0" workbookViewId="0">
      <pane ySplit="4" topLeftCell="A5" activePane="bottomLeft" state="frozen"/>
      <selection pane="bottomLeft"/>
    </sheetView>
  </sheetViews>
  <sheetFormatPr defaultRowHeight="14.25"/>
  <cols>
    <col min="1" max="1" width="24" customWidth="1"/>
    <col min="2" max="2" width="38" customWidth="1"/>
    <col min="3" max="3" width="22" customWidth="1"/>
  </cols>
  <sheetData>
    <row r="2" spans="1:3" ht="18.75">
      <c r="A2" s="1" t="s">
        <v>143</v>
      </c>
      <c r="B2" s="3"/>
      <c r="C2" s="3"/>
    </row>
    <row r="3" spans="1:3" ht="15">
      <c r="A3" s="4"/>
      <c r="B3" s="4"/>
      <c r="C3" s="4"/>
    </row>
    <row r="4" spans="1:3" ht="26.1" customHeight="1">
      <c r="A4" s="3" t="s">
        <v>144</v>
      </c>
      <c r="B4" s="3" t="s">
        <v>145</v>
      </c>
      <c r="C4" s="3" t="s">
        <v>146</v>
      </c>
    </row>
    <row r="5" spans="1:3" ht="15">
      <c r="A5" s="3" t="s">
        <v>147</v>
      </c>
      <c r="B5" s="3" t="s">
        <v>148</v>
      </c>
      <c r="C5" s="9">
        <v>0</v>
      </c>
    </row>
    <row r="6" spans="1:3" ht="15">
      <c r="A6" s="3" t="s">
        <v>149</v>
      </c>
      <c r="B6" s="3" t="s">
        <v>150</v>
      </c>
      <c r="C6" s="9">
        <v>60</v>
      </c>
    </row>
    <row r="7" spans="1:3" ht="15">
      <c r="A7" s="3" t="s">
        <v>151</v>
      </c>
      <c r="B7" s="3" t="s">
        <v>152</v>
      </c>
      <c r="C7" s="9">
        <v>5</v>
      </c>
    </row>
    <row r="8" spans="1:3" ht="15">
      <c r="A8" s="3" t="s">
        <v>153</v>
      </c>
      <c r="B8" s="3" t="s">
        <v>154</v>
      </c>
      <c r="C8" s="9">
        <v>30</v>
      </c>
    </row>
    <row r="9" spans="1:3" ht="15">
      <c r="A9" s="3" t="s">
        <v>155</v>
      </c>
      <c r="B9" s="3" t="s">
        <v>156</v>
      </c>
      <c r="C9" s="9">
        <v>50</v>
      </c>
    </row>
    <row r="10" spans="1:3" ht="15">
      <c r="A10" s="3" t="s">
        <v>157</v>
      </c>
      <c r="B10" s="3" t="s">
        <v>154</v>
      </c>
      <c r="C10" s="9">
        <v>20</v>
      </c>
    </row>
    <row r="11" spans="1:3" ht="15">
      <c r="A11" s="3" t="s">
        <v>158</v>
      </c>
      <c r="B11" s="3" t="s">
        <v>159</v>
      </c>
      <c r="C11" s="9">
        <v>44</v>
      </c>
    </row>
    <row r="12" spans="1:3" ht="15">
      <c r="A12" s="3" t="s">
        <v>160</v>
      </c>
      <c r="B12" s="3" t="s">
        <v>154</v>
      </c>
      <c r="C12" s="9">
        <v>20</v>
      </c>
    </row>
    <row r="13" spans="1:3" ht="15">
      <c r="A13" s="3" t="s">
        <v>161</v>
      </c>
      <c r="B13" s="3" t="s">
        <v>162</v>
      </c>
      <c r="C13" s="9">
        <v>30</v>
      </c>
    </row>
    <row r="14" spans="1:3" ht="15">
      <c r="A14" s="3" t="s">
        <v>163</v>
      </c>
      <c r="B14" s="3" t="s">
        <v>164</v>
      </c>
      <c r="C14" s="9">
        <v>5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C14"/>
  <sheetViews>
    <sheetView showGridLines="0" workbookViewId="0">
      <pane ySplit="4" topLeftCell="A5" activePane="bottomLeft" state="frozen"/>
      <selection pane="bottomLeft"/>
    </sheetView>
  </sheetViews>
  <sheetFormatPr defaultRowHeight="14.25"/>
  <cols>
    <col min="1" max="1" width="26" customWidth="1"/>
    <col min="2" max="3" width="24" customWidth="1"/>
  </cols>
  <sheetData>
    <row r="2" spans="1:3" ht="18.75">
      <c r="A2" s="1" t="s">
        <v>165</v>
      </c>
      <c r="B2" s="3"/>
      <c r="C2" s="3"/>
    </row>
    <row r="3" spans="1:3" ht="15">
      <c r="A3" s="4"/>
      <c r="B3" s="4"/>
      <c r="C3" s="4"/>
    </row>
    <row r="4" spans="1:3" ht="26.1" customHeight="1">
      <c r="A4" s="3" t="s">
        <v>136</v>
      </c>
      <c r="B4" s="3" t="s">
        <v>53</v>
      </c>
      <c r="C4" s="3" t="s">
        <v>144</v>
      </c>
    </row>
    <row r="5" spans="1:3" ht="15">
      <c r="A5" s="3" t="s">
        <v>141</v>
      </c>
      <c r="B5" s="3" t="s">
        <v>65</v>
      </c>
      <c r="C5" s="3" t="s">
        <v>147</v>
      </c>
    </row>
    <row r="6" spans="1:3" ht="15">
      <c r="A6" s="3" t="s">
        <v>141</v>
      </c>
      <c r="B6" s="3" t="s">
        <v>59</v>
      </c>
      <c r="C6" s="3" t="s">
        <v>149</v>
      </c>
    </row>
    <row r="7" spans="1:3" ht="15">
      <c r="A7" s="3" t="s">
        <v>141</v>
      </c>
      <c r="B7" s="3" t="s">
        <v>59</v>
      </c>
      <c r="C7" s="3" t="s">
        <v>151</v>
      </c>
    </row>
    <row r="8" spans="1:3" ht="15">
      <c r="A8" s="3" t="s">
        <v>141</v>
      </c>
      <c r="B8" s="3" t="s">
        <v>66</v>
      </c>
      <c r="C8" s="3" t="s">
        <v>153</v>
      </c>
    </row>
    <row r="9" spans="1:3" ht="15">
      <c r="A9" s="3" t="s">
        <v>141</v>
      </c>
      <c r="B9" s="3" t="s">
        <v>61</v>
      </c>
      <c r="C9" s="3" t="s">
        <v>155</v>
      </c>
    </row>
    <row r="10" spans="1:3" ht="15">
      <c r="A10" s="3" t="s">
        <v>141</v>
      </c>
      <c r="B10" s="3" t="s">
        <v>66</v>
      </c>
      <c r="C10" s="3" t="s">
        <v>157</v>
      </c>
    </row>
    <row r="11" spans="1:3" ht="15">
      <c r="A11" s="3" t="s">
        <v>141</v>
      </c>
      <c r="B11" s="3" t="s">
        <v>63</v>
      </c>
      <c r="C11" s="3" t="s">
        <v>158</v>
      </c>
    </row>
    <row r="12" spans="1:3" ht="15">
      <c r="A12" s="3" t="s">
        <v>141</v>
      </c>
      <c r="B12" s="3" t="s">
        <v>66</v>
      </c>
      <c r="C12" s="3" t="s">
        <v>160</v>
      </c>
    </row>
    <row r="13" spans="1:3" ht="15">
      <c r="A13" s="3" t="s">
        <v>141</v>
      </c>
      <c r="B13" s="3" t="s">
        <v>57</v>
      </c>
      <c r="C13" s="3" t="s">
        <v>161</v>
      </c>
    </row>
    <row r="14" spans="1:3" ht="15">
      <c r="A14" s="3" t="s">
        <v>141</v>
      </c>
      <c r="B14" s="3" t="s">
        <v>68</v>
      </c>
      <c r="C14" s="3" t="s">
        <v>163</v>
      </c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xr:uid="{00000000-0002-0000-0A00-000000000000}">
          <x14:formula1>
            <xm:f>ProcessConfigurations!$A$5:$A$1000</xm:f>
          </x14:formula1>
          <xm:sqref>A5:A14</xm:sqref>
        </x14:dataValidation>
        <x14:dataValidation type="list" xr:uid="{00000000-0002-0000-0A00-000001000000}">
          <x14:formula1>
            <xm:f>Assets!$A$5:$A$1000</xm:f>
          </x14:formula1>
          <xm:sqref>B5:B14</xm:sqref>
        </x14:dataValidation>
        <x14:dataValidation type="list" xr:uid="{00000000-0002-0000-0A00-000002000000}">
          <x14:formula1>
            <xm:f>ProcessSteps!$A$5:$A$1000</xm:f>
          </x14:formula1>
          <xm:sqref>C5:C14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C13"/>
  <sheetViews>
    <sheetView showGridLines="0" workbookViewId="0">
      <pane ySplit="4" topLeftCell="A5" activePane="bottomLeft" state="frozen"/>
      <selection pane="bottomLeft"/>
    </sheetView>
  </sheetViews>
  <sheetFormatPr defaultRowHeight="14.25"/>
  <cols>
    <col min="1" max="1" width="26" customWidth="1"/>
    <col min="2" max="2" width="24" customWidth="1"/>
    <col min="3" max="3" width="30" customWidth="1"/>
  </cols>
  <sheetData>
    <row r="2" spans="1:3" ht="18.75">
      <c r="A2" s="1" t="s">
        <v>166</v>
      </c>
      <c r="B2" s="3"/>
      <c r="C2" s="3"/>
    </row>
    <row r="3" spans="1:3" ht="15">
      <c r="A3" s="4"/>
      <c r="B3" s="4"/>
      <c r="C3" s="4"/>
    </row>
    <row r="4" spans="1:3" ht="26.1" customHeight="1">
      <c r="A4" s="3" t="s">
        <v>136</v>
      </c>
      <c r="B4" s="3" t="s">
        <v>144</v>
      </c>
      <c r="C4" s="3" t="s">
        <v>167</v>
      </c>
    </row>
    <row r="5" spans="1:3" ht="15">
      <c r="A5" s="3" t="s">
        <v>141</v>
      </c>
      <c r="B5" s="3" t="s">
        <v>147</v>
      </c>
      <c r="C5" s="3" t="s">
        <v>149</v>
      </c>
    </row>
    <row r="6" spans="1:3" ht="15">
      <c r="A6" s="3" t="s">
        <v>141</v>
      </c>
      <c r="B6" s="3" t="s">
        <v>149</v>
      </c>
      <c r="C6" s="3" t="s">
        <v>151</v>
      </c>
    </row>
    <row r="7" spans="1:3" ht="15">
      <c r="A7" s="3" t="s">
        <v>141</v>
      </c>
      <c r="B7" s="3" t="s">
        <v>151</v>
      </c>
      <c r="C7" s="3" t="s">
        <v>153</v>
      </c>
    </row>
    <row r="8" spans="1:3" ht="15">
      <c r="A8" s="3" t="s">
        <v>141</v>
      </c>
      <c r="B8" s="3" t="s">
        <v>153</v>
      </c>
      <c r="C8" s="3" t="s">
        <v>155</v>
      </c>
    </row>
    <row r="9" spans="1:3" ht="15">
      <c r="A9" s="3" t="s">
        <v>141</v>
      </c>
      <c r="B9" s="3" t="s">
        <v>155</v>
      </c>
      <c r="C9" s="3" t="s">
        <v>157</v>
      </c>
    </row>
    <row r="10" spans="1:3" ht="15">
      <c r="A10" s="3" t="s">
        <v>141</v>
      </c>
      <c r="B10" s="3" t="s">
        <v>157</v>
      </c>
      <c r="C10" s="3" t="s">
        <v>158</v>
      </c>
    </row>
    <row r="11" spans="1:3" ht="15">
      <c r="A11" s="3" t="s">
        <v>141</v>
      </c>
      <c r="B11" s="3" t="s">
        <v>158</v>
      </c>
      <c r="C11" s="3" t="s">
        <v>160</v>
      </c>
    </row>
    <row r="12" spans="1:3" ht="15">
      <c r="A12" s="3" t="s">
        <v>141</v>
      </c>
      <c r="B12" s="3" t="s">
        <v>160</v>
      </c>
      <c r="C12" s="3" t="s">
        <v>161</v>
      </c>
    </row>
    <row r="13" spans="1:3" ht="15">
      <c r="A13" s="3" t="s">
        <v>141</v>
      </c>
      <c r="B13" s="3" t="s">
        <v>161</v>
      </c>
      <c r="C13" s="3" t="s">
        <v>163</v>
      </c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B00-000000000000}">
          <x14:formula1>
            <xm:f>ProcessConfigurations!$A$5:$A$1000</xm:f>
          </x14:formula1>
          <xm:sqref>A5:A13</xm:sqref>
        </x14:dataValidation>
        <x14:dataValidation type="list" xr:uid="{00000000-0002-0000-0B00-000001000000}">
          <x14:formula1>
            <xm:f>ProcessSteps!$A$5:$A$1000</xm:f>
          </x14:formula1>
          <xm:sqref>B5:C13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12</vt:i4>
      </vt:variant>
    </vt:vector>
  </HeadingPairs>
  <TitlesOfParts>
    <vt:vector size="12" baseType="lpstr">
      <vt:lpstr>ReadMe</vt:lpstr>
      <vt:lpstr>DataSources</vt:lpstr>
      <vt:lpstr>UserTypes</vt:lpstr>
      <vt:lpstr>ProductTypes</vt:lpstr>
      <vt:lpstr>Assets</vt:lpstr>
      <vt:lpstr>MeasurementTypes</vt:lpstr>
      <vt:lpstr>SensorTypes</vt:lpstr>
      <vt:lpstr>Sensors</vt:lpstr>
      <vt:lpstr>ProcessConfigurations</vt:lpstr>
      <vt:lpstr>ProcessSteps</vt:lpstr>
      <vt:lpstr>AssetProcessSteps</vt:lpstr>
      <vt:lpstr>Routing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Halász Gergely Lajos</cp:lastModifiedBy>
  <dcterms:modified xsi:type="dcterms:W3CDTF">2026-09-15T10:37:53Z</dcterms:modified>
</cp:coreProperties>
</file>